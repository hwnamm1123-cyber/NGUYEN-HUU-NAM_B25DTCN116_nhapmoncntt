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<sst xmlns="http://schemas.openxmlformats.org/spreadsheetml/2006/main" count="43" uniqueCount="26">
  <si>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Ngày</t>
  </si>
  <si>
    <t>Danh mục</t>
  </si>
  <si>
    <t>Mô tả</t>
  </si>
  <si>
    <t>Số tiền (VNĐ)</t>
  </si>
  <si>
    <t>Ăn uống</t>
  </si>
  <si>
    <t>Cà phê sáng và bánh mì</t>
  </si>
  <si>
    <t>Di chuyển</t>
  </si>
  <si>
    <t>Tiền xe buýt đi làm</t>
  </si>
  <si>
    <t>Bữa trưa văn phòng</t>
  </si>
  <si>
    <t>Giải trí</t>
  </si>
  <si>
    <t>Vé xem phim cuối tuần</t>
  </si>
  <si>
    <t>Học tập</t>
  </si>
  <si>
    <t>Mua sách chuyên ngành</t>
  </si>
  <si>
    <t>Đổ xăng xe máy</t>
  </si>
  <si>
    <t>Đi ăn tối cùng bạn bè</t>
  </si>
  <si>
    <t>Phí thành viên phòng gym</t>
  </si>
  <si>
    <t>Khóa học online</t>
  </si>
  <si>
    <t>Chi tiêu tại siêu thị (thực phẩm)</t>
  </si>
  <si>
    <t>Phí gửi xe hàng tháng</t>
  </si>
  <si>
    <t>Karaoke cùng đồng nghiệp</t>
  </si>
  <si>
    <t>Đặt đồ ăn đêm</t>
  </si>
  <si>
    <t>Mua văn phòng phẩm</t>
  </si>
  <si>
    <t>Tiền taxi về nhà</t>
  </si>
  <si>
    <t>Mua game mới</t>
  </si>
  <si>
    <t>Tổng chi tiêu</t>
  </si>
  <si>
    <t>Tổng chi tiêu (VNĐ)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</si>
</sst>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" fontId="0" fillId="0" borderId="1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Sheet1!$A$20:$A$23</c:f>
              <c:strCache>
                <c:ptCount val="4"/>
                <c:pt idx="0">
                  <c:v>Ăn uống</c:v>
                </c:pt>
                <c:pt idx="1">
                  <c:v>Di chuyển</c:v>
                </c:pt>
                <c:pt idx="2">
                  <c:v>Giải trí</c:v>
                </c:pt>
                <c:pt idx="3">
                  <c:v>Học tập</c:v>
                </c:pt>
              </c:strCache>
            </c:strRef>
          </c:cat>
          <c:val>
            <c:numRef>
              <c:f>Sheet1!$B$20:$B$23</c:f>
              <c:numCache>
                <c:formatCode>#,##0</c:formatCode>
                <c:ptCount val="4"/>
                <c:pt idx="0">
                  <c:v>1000000</c:v>
                </c:pt>
                <c:pt idx="1">
                  <c:v>250000</c:v>
                </c:pt>
                <c:pt idx="2">
                  <c:v>1030000</c:v>
                </c:pt>
                <c:pt idx="3">
                  <c:v>1339000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0921052631579"/>
          <c:y val="0.14798415287811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23</xdr:row>
      <xdr:rowOff>9525</xdr:rowOff>
    </xdr:from>
    <xdr:to>
      <xdr:col>3</xdr:col>
      <xdr:colOff>1369695</xdr:colOff>
      <xdr:row>40</xdr:row>
      <xdr:rowOff>176530</xdr:rowOff>
    </xdr:to>
    <xdr:graphicFrame>
      <xdr:nvGraphicFramePr>
        <xdr:cNvPr id="3" name="Chart 2"/>
        <xdr:cNvGraphicFramePr/>
      </xdr:nvGraphicFramePr>
      <xdr:xfrm>
        <a:off x="19050" y="8422005"/>
        <a:ext cx="5229225" cy="3275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zoomScale="85" zoomScaleNormal="85" workbookViewId="0">
      <selection activeCell="F25" sqref="F25"/>
    </sheetView>
  </sheetViews>
  <sheetFormatPr defaultColWidth="8.88888888888889" defaultRowHeight="14.4" outlineLevelCol="3"/>
  <cols>
    <col min="1" max="2" width="12.7777777777778" customWidth="1"/>
    <col min="3" max="3" width="31" customWidth="1"/>
    <col min="4" max="4" width="20" customWidth="1"/>
  </cols>
  <sheetData>
    <row r="1" ht="28.8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8.8" customHeight="1" spans="1:4">
      <c r="A2" s="3">
        <v>45931</v>
      </c>
      <c r="B2" s="4" t="s">
        <v>4</v>
      </c>
      <c r="C2" s="5" t="s">
        <v>5</v>
      </c>
      <c r="D2" s="6">
        <v>45000</v>
      </c>
    </row>
    <row r="3" ht="28.8" customHeight="1" spans="1:4">
      <c r="A3" s="3">
        <v>45931</v>
      </c>
      <c r="B3" s="4" t="s">
        <v>6</v>
      </c>
      <c r="C3" s="5" t="s">
        <v>7</v>
      </c>
      <c r="D3" s="6">
        <v>10000</v>
      </c>
    </row>
    <row r="4" ht="28.8" customHeight="1" spans="1:4">
      <c r="A4" s="3">
        <v>45932</v>
      </c>
      <c r="B4" s="4" t="s">
        <v>4</v>
      </c>
      <c r="C4" s="5" t="s">
        <v>8</v>
      </c>
      <c r="D4" s="6">
        <v>65000</v>
      </c>
    </row>
    <row r="5" ht="28.8" customHeight="1" spans="1:4">
      <c r="A5" s="3">
        <v>45933</v>
      </c>
      <c r="B5" s="4" t="s">
        <v>9</v>
      </c>
      <c r="C5" s="5" t="s">
        <v>10</v>
      </c>
      <c r="D5" s="6">
        <v>150000</v>
      </c>
    </row>
    <row r="6" ht="28.8" customHeight="1" spans="1:4">
      <c r="A6" s="3">
        <v>45934</v>
      </c>
      <c r="B6" s="4" t="s">
        <v>11</v>
      </c>
      <c r="C6" s="5" t="s">
        <v>12</v>
      </c>
      <c r="D6" s="6">
        <v>320000</v>
      </c>
    </row>
    <row r="7" ht="28.8" customHeight="1" spans="1:4">
      <c r="A7" s="3">
        <v>45935</v>
      </c>
      <c r="B7" s="4" t="s">
        <v>6</v>
      </c>
      <c r="C7" s="5" t="s">
        <v>13</v>
      </c>
      <c r="D7" s="6">
        <v>85000</v>
      </c>
    </row>
    <row r="8" ht="28.8" customHeight="1" spans="1:4">
      <c r="A8" s="3">
        <v>45936</v>
      </c>
      <c r="B8" s="4" t="s">
        <v>4</v>
      </c>
      <c r="C8" s="5" t="s">
        <v>14</v>
      </c>
      <c r="D8" s="6">
        <v>250000</v>
      </c>
    </row>
    <row r="9" ht="28.8" customHeight="1" spans="1:4">
      <c r="A9" s="3">
        <v>45938</v>
      </c>
      <c r="B9" s="4" t="s">
        <v>9</v>
      </c>
      <c r="C9" s="5" t="s">
        <v>15</v>
      </c>
      <c r="D9" s="6">
        <v>400000</v>
      </c>
    </row>
    <row r="10" ht="28.8" customHeight="1" spans="1:4">
      <c r="A10" s="3">
        <v>45940</v>
      </c>
      <c r="B10" s="4" t="s">
        <v>11</v>
      </c>
      <c r="C10" s="5" t="s">
        <v>16</v>
      </c>
      <c r="D10" s="6">
        <v>899000</v>
      </c>
    </row>
    <row r="11" ht="28.8" customHeight="1" spans="1:4">
      <c r="A11" s="3">
        <v>45942</v>
      </c>
      <c r="B11" s="4" t="s">
        <v>4</v>
      </c>
      <c r="C11" s="5" t="s">
        <v>17</v>
      </c>
      <c r="D11" s="6">
        <v>550000</v>
      </c>
    </row>
    <row r="12" ht="28.8" customHeight="1" spans="1:4">
      <c r="A12" s="3">
        <v>45945</v>
      </c>
      <c r="B12" s="4" t="s">
        <v>6</v>
      </c>
      <c r="C12" s="5" t="s">
        <v>18</v>
      </c>
      <c r="D12" s="6">
        <v>100000</v>
      </c>
    </row>
    <row r="13" ht="28.8" customHeight="1" spans="1:4">
      <c r="A13" s="3">
        <v>45948</v>
      </c>
      <c r="B13" s="4" t="s">
        <v>9</v>
      </c>
      <c r="C13" s="5" t="s">
        <v>19</v>
      </c>
      <c r="D13" s="6">
        <v>300000</v>
      </c>
    </row>
    <row r="14" ht="28.8" customHeight="1" spans="1:4">
      <c r="A14" s="3">
        <v>45950</v>
      </c>
      <c r="B14" s="4" t="s">
        <v>4</v>
      </c>
      <c r="C14" s="5" t="s">
        <v>20</v>
      </c>
      <c r="D14" s="6">
        <v>90000</v>
      </c>
    </row>
    <row r="15" ht="28.8" customHeight="1" spans="1:4">
      <c r="A15" s="3">
        <v>45955</v>
      </c>
      <c r="B15" s="4" t="s">
        <v>11</v>
      </c>
      <c r="C15" s="5" t="s">
        <v>21</v>
      </c>
      <c r="D15" s="6">
        <v>120000</v>
      </c>
    </row>
    <row r="16" ht="28.8" customHeight="1" spans="1:4">
      <c r="A16" s="3">
        <v>45958</v>
      </c>
      <c r="B16" s="4" t="s">
        <v>6</v>
      </c>
      <c r="C16" s="5" t="s">
        <v>22</v>
      </c>
      <c r="D16" s="6">
        <v>55000</v>
      </c>
    </row>
    <row r="17" ht="28.8" customHeight="1" spans="1:4">
      <c r="A17" s="3">
        <v>45960</v>
      </c>
      <c r="B17" s="4" t="s">
        <v>9</v>
      </c>
      <c r="C17" s="5" t="s">
        <v>23</v>
      </c>
      <c r="D17" s="6">
        <v>180000</v>
      </c>
    </row>
    <row r="18" ht="28.8" customHeight="1" spans="1:4">
      <c r="A18" s="7" t="s">
        <v>24</v>
      </c>
      <c r="B18" s="5"/>
      <c r="C18" s="5"/>
      <c r="D18" s="8">
        <f>SUM(D2:D17)</f>
        <v>3619000</v>
      </c>
    </row>
    <row r="19" ht="28.8" customHeight="1" spans="1:4">
      <c r="A19" s="1" t="s">
        <v>1</v>
      </c>
      <c r="B19" s="7"/>
      <c r="C19" s="7"/>
      <c r="D19" s="2" t="s">
        <v>25</v>
      </c>
    </row>
    <row r="20" ht="28.8" customHeight="1" spans="1:4">
      <c r="A20" s="7" t="s">
        <v>4</v>
      </c>
      <c r="B20" s="6">
        <v>1000000</v>
      </c>
      <c r="C20" s="5"/>
      <c r="D20" s="9">
        <f>SUMIF(B2:B17,"Ăn uống",D2:D17)</f>
        <v>1000000</v>
      </c>
    </row>
    <row r="21" ht="28.8" customHeight="1" spans="1:4">
      <c r="A21" s="7" t="s">
        <v>6</v>
      </c>
      <c r="B21" s="6">
        <v>250000</v>
      </c>
      <c r="C21" s="5"/>
      <c r="D21" s="10">
        <f>SUMIF(B2:B17,"Di chuyển",D2:D17)</f>
        <v>250000</v>
      </c>
    </row>
    <row r="22" ht="28.8" customHeight="1" spans="1:4">
      <c r="A22" s="7" t="s">
        <v>9</v>
      </c>
      <c r="B22" s="6">
        <v>1030000</v>
      </c>
      <c r="C22" s="5"/>
      <c r="D22" s="10">
        <f>SUMIF(B2:B17,"Giải trí",D2:D17)</f>
        <v>1030000</v>
      </c>
    </row>
    <row r="23" ht="28.8" customHeight="1" spans="1:4">
      <c r="A23" s="7" t="s">
        <v>11</v>
      </c>
      <c r="B23" s="6">
        <v>1339000</v>
      </c>
      <c r="C23" s="5"/>
      <c r="D23" s="6">
        <v>1339000</v>
      </c>
    </row>
    <row r="24" spans="1:3">
      <c r="A24" s="11"/>
      <c r="B24" s="12"/>
      <c r="C24" s="1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Nguyễn Nam</cp:lastModifiedBy>
  <dcterms:created xsi:type="dcterms:W3CDTF">2025-10-04T11:31:30Z</dcterms:created>
  <dcterms:modified xsi:type="dcterms:W3CDTF">2025-10-04T11:58:39Z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5C626774F74447DAB3BC70D9E78FF3CA_11</vt:lpwstr>
  </property>
  <property fmtid="{D5CDD505-2E9C-101B-9397-08002B2CF9AE}" pid="3" name="KSOProductBuildVer">
    <vt:lpwstr>1033-12.2.0.22530</vt:lpwstr>
  </property>
</Properties>
</file>