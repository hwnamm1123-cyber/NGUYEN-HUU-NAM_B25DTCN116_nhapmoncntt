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<sst xmlns="http://schemas.openxmlformats.org/spreadsheetml/2006/main" count="54" uniqueCount="35">
  <si>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Họ và Tên</t>
  </si>
  <si>
    <t>MSSV</t>
  </si>
  <si>
    <t>Lớp</t>
  </si>
  <si>
    <t>Câu 1</t>
  </si>
  <si>
    <t>Câu 2</t>
  </si>
  <si>
    <t>Câu 3</t>
  </si>
  <si>
    <t>Câu 4</t>
  </si>
  <si>
    <t>Câu 5</t>
  </si>
  <si>
    <t>Tổng điểm</t>
  </si>
  <si>
    <t>Tỷ lệ đúng</t>
  </si>
  <si>
    <t>Xếp loại</t>
  </si>
  <si>
    <t>Ghi chú</t>
  </si>
  <si>
    <t>Điểm cao nhât</t>
  </si>
  <si>
    <t>điểm thấp nhất</t>
  </si>
  <si>
    <t>Sinh viên 1</t>
  </si>
  <si>
    <t>DD2B</t>
  </si>
  <si>
    <t>Sinh viên 2</t>
  </si>
  <si>
    <t xml:space="preserve">Sinh viên 3 </t>
  </si>
  <si>
    <t>Sinh viên 4</t>
  </si>
  <si>
    <t>Sinh viên 5</t>
  </si>
  <si>
    <t>Sinh viên 6</t>
  </si>
  <si>
    <t>Sinh viên 7</t>
  </si>
  <si>
    <t>Sinh viên 8</t>
  </si>
  <si>
    <t>Sinh viên 9</t>
  </si>
  <si>
    <t>Sinh viên 10</t>
  </si>
  <si>
    <t>Sinh viên 11</t>
  </si>
  <si>
    <t>Sinh viên 12</t>
  </si>
  <si>
    <t>Sinh viên 13</t>
  </si>
  <si>
    <t>Sinh viên 14</t>
  </si>
  <si>
    <t>Sinh viên 15</t>
  </si>
  <si>
    <t>Sinh viên 16</t>
  </si>
  <si>
    <t>Sinh viên 17</t>
  </si>
  <si>
    <t>Sinh viên 18</t>
  </si>
  <si>
    <t>Sinh viên 19</t>
  </si>
  <si>
    <t>Sinh viên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</si>
</sst>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rgb="FF188038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Câu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Sheet1!$A$2:$C$21</c:f>
              <c:multiLvlStrCache>
                <c:ptCount val="20"/>
                <c:lvl>
                  <c:pt idx="0">
                    <c:v>DD2B</c:v>
                  </c:pt>
                  <c:pt idx="1">
                    <c:v>DD2B</c:v>
                  </c:pt>
                  <c:pt idx="2">
                    <c:v>DD2B</c:v>
                  </c:pt>
                  <c:pt idx="3">
                    <c:v>DD2B</c:v>
                  </c:pt>
                  <c:pt idx="4">
                    <c:v>DD2B</c:v>
                  </c:pt>
                  <c:pt idx="5">
                    <c:v>DD2B</c:v>
                  </c:pt>
                  <c:pt idx="6">
                    <c:v>DD2B</c:v>
                  </c:pt>
                  <c:pt idx="7">
                    <c:v>DD2B</c:v>
                  </c:pt>
                  <c:pt idx="8">
                    <c:v>DD2B</c:v>
                  </c:pt>
                  <c:pt idx="9">
                    <c:v>DD2B</c:v>
                  </c:pt>
                  <c:pt idx="10">
                    <c:v>DD2B</c:v>
                  </c:pt>
                  <c:pt idx="11">
                    <c:v>DD2B</c:v>
                  </c:pt>
                  <c:pt idx="12">
                    <c:v>DD2B</c:v>
                  </c:pt>
                  <c:pt idx="13">
                    <c:v>DD2B</c:v>
                  </c:pt>
                  <c:pt idx="14">
                    <c:v>DD2B</c:v>
                  </c:pt>
                  <c:pt idx="15">
                    <c:v>DD2B</c:v>
                  </c:pt>
                  <c:pt idx="16">
                    <c:v>DD2B</c:v>
                  </c:pt>
                  <c:pt idx="17">
                    <c:v>DD2B</c:v>
                  </c:pt>
                  <c:pt idx="18">
                    <c:v>DD2B</c:v>
                  </c:pt>
                  <c:pt idx="19">
                    <c:v>DD2B</c:v>
                  </c:pt>
                </c:lvl>
                <c:lvl>
                  <c:pt idx="0">
                    <c:v>2210001</c:v>
                  </c:pt>
                  <c:pt idx="1">
                    <c:v>2210002</c:v>
                  </c:pt>
                  <c:pt idx="2">
                    <c:v>2210003</c:v>
                  </c:pt>
                  <c:pt idx="3">
                    <c:v>2210004</c:v>
                  </c:pt>
                  <c:pt idx="4">
                    <c:v>2210005</c:v>
                  </c:pt>
                  <c:pt idx="5">
                    <c:v>2210006</c:v>
                  </c:pt>
                  <c:pt idx="6">
                    <c:v>2210007</c:v>
                  </c:pt>
                  <c:pt idx="7">
                    <c:v>2210008</c:v>
                  </c:pt>
                  <c:pt idx="8">
                    <c:v>2210009</c:v>
                  </c:pt>
                  <c:pt idx="9">
                    <c:v>22100010</c:v>
                  </c:pt>
                  <c:pt idx="10">
                    <c:v>22100011</c:v>
                  </c:pt>
                  <c:pt idx="11">
                    <c:v>22100012</c:v>
                  </c:pt>
                  <c:pt idx="12">
                    <c:v>22100013</c:v>
                  </c:pt>
                  <c:pt idx="13">
                    <c:v>22100014</c:v>
                  </c:pt>
                  <c:pt idx="14">
                    <c:v>22100015</c:v>
                  </c:pt>
                  <c:pt idx="15">
                    <c:v>22100016</c:v>
                  </c:pt>
                  <c:pt idx="16">
                    <c:v>22100017</c:v>
                  </c:pt>
                  <c:pt idx="17">
                    <c:v>22100018</c:v>
                  </c:pt>
                  <c:pt idx="18">
                    <c:v>22100019</c:v>
                  </c:pt>
                  <c:pt idx="19">
                    <c:v>22100020</c:v>
                  </c:pt>
                </c:lvl>
                <c:lvl>
                  <c:pt idx="0">
                    <c:v>Sinh viên 1</c:v>
                  </c:pt>
                  <c:pt idx="1">
                    <c:v>Sinh viên 2</c:v>
                  </c:pt>
                  <c:pt idx="2">
                    <c:v>Sinh viên 3 </c:v>
                  </c:pt>
                  <c:pt idx="3">
                    <c:v>Sinh viên 4</c:v>
                  </c:pt>
                  <c:pt idx="4">
                    <c:v>Sinh viên 5</c:v>
                  </c:pt>
                  <c:pt idx="5">
                    <c:v>Sinh viên 6</c:v>
                  </c:pt>
                  <c:pt idx="6">
                    <c:v>Sinh viên 7</c:v>
                  </c:pt>
                  <c:pt idx="7">
                    <c:v>Sinh viên 8</c:v>
                  </c:pt>
                  <c:pt idx="8">
                    <c:v>Sinh viên 9</c:v>
                  </c:pt>
                  <c:pt idx="9">
                    <c:v>Sinh viên 10</c:v>
                  </c:pt>
                  <c:pt idx="10">
                    <c:v>Sinh viên 11</c:v>
                  </c:pt>
                  <c:pt idx="11">
                    <c:v>Sinh viên 12</c:v>
                  </c:pt>
                  <c:pt idx="12">
                    <c:v>Sinh viên 13</c:v>
                  </c:pt>
                  <c:pt idx="13">
                    <c:v>Sinh viên 14</c:v>
                  </c:pt>
                  <c:pt idx="14">
                    <c:v>Sinh viên 15</c:v>
                  </c:pt>
                  <c:pt idx="15">
                    <c:v>Sinh viên 16</c:v>
                  </c:pt>
                  <c:pt idx="16">
                    <c:v>Sinh viên 17</c:v>
                  </c:pt>
                  <c:pt idx="17">
                    <c:v>Sinh viên 18</c:v>
                  </c:pt>
                  <c:pt idx="18">
                    <c:v>Sinh viên 19</c:v>
                  </c:pt>
                  <c:pt idx="19">
                    <c:v>Sinh viên 20</c:v>
                  </c:pt>
                </c:lvl>
              </c:multiLvlStrCache>
            </c:multiLvl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Câu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Sheet1!$A$2:$C$21</c:f>
              <c:multiLvlStrCache>
                <c:ptCount val="20"/>
                <c:lvl>
                  <c:pt idx="0">
                    <c:v>DD2B</c:v>
                  </c:pt>
                  <c:pt idx="1">
                    <c:v>DD2B</c:v>
                  </c:pt>
                  <c:pt idx="2">
                    <c:v>DD2B</c:v>
                  </c:pt>
                  <c:pt idx="3">
                    <c:v>DD2B</c:v>
                  </c:pt>
                  <c:pt idx="4">
                    <c:v>DD2B</c:v>
                  </c:pt>
                  <c:pt idx="5">
                    <c:v>DD2B</c:v>
                  </c:pt>
                  <c:pt idx="6">
                    <c:v>DD2B</c:v>
                  </c:pt>
                  <c:pt idx="7">
                    <c:v>DD2B</c:v>
                  </c:pt>
                  <c:pt idx="8">
                    <c:v>DD2B</c:v>
                  </c:pt>
                  <c:pt idx="9">
                    <c:v>DD2B</c:v>
                  </c:pt>
                  <c:pt idx="10">
                    <c:v>DD2B</c:v>
                  </c:pt>
                  <c:pt idx="11">
                    <c:v>DD2B</c:v>
                  </c:pt>
                  <c:pt idx="12">
                    <c:v>DD2B</c:v>
                  </c:pt>
                  <c:pt idx="13">
                    <c:v>DD2B</c:v>
                  </c:pt>
                  <c:pt idx="14">
                    <c:v>DD2B</c:v>
                  </c:pt>
                  <c:pt idx="15">
                    <c:v>DD2B</c:v>
                  </c:pt>
                  <c:pt idx="16">
                    <c:v>DD2B</c:v>
                  </c:pt>
                  <c:pt idx="17">
                    <c:v>DD2B</c:v>
                  </c:pt>
                  <c:pt idx="18">
                    <c:v>DD2B</c:v>
                  </c:pt>
                  <c:pt idx="19">
                    <c:v>DD2B</c:v>
                  </c:pt>
                </c:lvl>
                <c:lvl>
                  <c:pt idx="0">
                    <c:v>2210001</c:v>
                  </c:pt>
                  <c:pt idx="1">
                    <c:v>2210002</c:v>
                  </c:pt>
                  <c:pt idx="2">
                    <c:v>2210003</c:v>
                  </c:pt>
                  <c:pt idx="3">
                    <c:v>2210004</c:v>
                  </c:pt>
                  <c:pt idx="4">
                    <c:v>2210005</c:v>
                  </c:pt>
                  <c:pt idx="5">
                    <c:v>2210006</c:v>
                  </c:pt>
                  <c:pt idx="6">
                    <c:v>2210007</c:v>
                  </c:pt>
                  <c:pt idx="7">
                    <c:v>2210008</c:v>
                  </c:pt>
                  <c:pt idx="8">
                    <c:v>2210009</c:v>
                  </c:pt>
                  <c:pt idx="9">
                    <c:v>22100010</c:v>
                  </c:pt>
                  <c:pt idx="10">
                    <c:v>22100011</c:v>
                  </c:pt>
                  <c:pt idx="11">
                    <c:v>22100012</c:v>
                  </c:pt>
                  <c:pt idx="12">
                    <c:v>22100013</c:v>
                  </c:pt>
                  <c:pt idx="13">
                    <c:v>22100014</c:v>
                  </c:pt>
                  <c:pt idx="14">
                    <c:v>22100015</c:v>
                  </c:pt>
                  <c:pt idx="15">
                    <c:v>22100016</c:v>
                  </c:pt>
                  <c:pt idx="16">
                    <c:v>22100017</c:v>
                  </c:pt>
                  <c:pt idx="17">
                    <c:v>22100018</c:v>
                  </c:pt>
                  <c:pt idx="18">
                    <c:v>22100019</c:v>
                  </c:pt>
                  <c:pt idx="19">
                    <c:v>22100020</c:v>
                  </c:pt>
                </c:lvl>
                <c:lvl>
                  <c:pt idx="0">
                    <c:v>Sinh viên 1</c:v>
                  </c:pt>
                  <c:pt idx="1">
                    <c:v>Sinh viên 2</c:v>
                  </c:pt>
                  <c:pt idx="2">
                    <c:v>Sinh viên 3 </c:v>
                  </c:pt>
                  <c:pt idx="3">
                    <c:v>Sinh viên 4</c:v>
                  </c:pt>
                  <c:pt idx="4">
                    <c:v>Sinh viên 5</c:v>
                  </c:pt>
                  <c:pt idx="5">
                    <c:v>Sinh viên 6</c:v>
                  </c:pt>
                  <c:pt idx="6">
                    <c:v>Sinh viên 7</c:v>
                  </c:pt>
                  <c:pt idx="7">
                    <c:v>Sinh viên 8</c:v>
                  </c:pt>
                  <c:pt idx="8">
                    <c:v>Sinh viên 9</c:v>
                  </c:pt>
                  <c:pt idx="9">
                    <c:v>Sinh viên 10</c:v>
                  </c:pt>
                  <c:pt idx="10">
                    <c:v>Sinh viên 11</c:v>
                  </c:pt>
                  <c:pt idx="11">
                    <c:v>Sinh viên 12</c:v>
                  </c:pt>
                  <c:pt idx="12">
                    <c:v>Sinh viên 13</c:v>
                  </c:pt>
                  <c:pt idx="13">
                    <c:v>Sinh viên 14</c:v>
                  </c:pt>
                  <c:pt idx="14">
                    <c:v>Sinh viên 15</c:v>
                  </c:pt>
                  <c:pt idx="15">
                    <c:v>Sinh viên 16</c:v>
                  </c:pt>
                  <c:pt idx="16">
                    <c:v>Sinh viên 17</c:v>
                  </c:pt>
                  <c:pt idx="17">
                    <c:v>Sinh viên 18</c:v>
                  </c:pt>
                  <c:pt idx="18">
                    <c:v>Sinh viên 19</c:v>
                  </c:pt>
                  <c:pt idx="19">
                    <c:v>Sinh viên 20</c:v>
                  </c:pt>
                </c:lvl>
              </c:multiLvlStrCache>
            </c:multiLvlStrRef>
          </c:cat>
          <c:val>
            <c:numRef>
              <c:f>Sheet1!$E$2:$E$21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Câu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Sheet1!$A$2:$C$21</c:f>
              <c:multiLvlStrCache>
                <c:ptCount val="20"/>
                <c:lvl>
                  <c:pt idx="0">
                    <c:v>DD2B</c:v>
                  </c:pt>
                  <c:pt idx="1">
                    <c:v>DD2B</c:v>
                  </c:pt>
                  <c:pt idx="2">
                    <c:v>DD2B</c:v>
                  </c:pt>
                  <c:pt idx="3">
                    <c:v>DD2B</c:v>
                  </c:pt>
                  <c:pt idx="4">
                    <c:v>DD2B</c:v>
                  </c:pt>
                  <c:pt idx="5">
                    <c:v>DD2B</c:v>
                  </c:pt>
                  <c:pt idx="6">
                    <c:v>DD2B</c:v>
                  </c:pt>
                  <c:pt idx="7">
                    <c:v>DD2B</c:v>
                  </c:pt>
                  <c:pt idx="8">
                    <c:v>DD2B</c:v>
                  </c:pt>
                  <c:pt idx="9">
                    <c:v>DD2B</c:v>
                  </c:pt>
                  <c:pt idx="10">
                    <c:v>DD2B</c:v>
                  </c:pt>
                  <c:pt idx="11">
                    <c:v>DD2B</c:v>
                  </c:pt>
                  <c:pt idx="12">
                    <c:v>DD2B</c:v>
                  </c:pt>
                  <c:pt idx="13">
                    <c:v>DD2B</c:v>
                  </c:pt>
                  <c:pt idx="14">
                    <c:v>DD2B</c:v>
                  </c:pt>
                  <c:pt idx="15">
                    <c:v>DD2B</c:v>
                  </c:pt>
                  <c:pt idx="16">
                    <c:v>DD2B</c:v>
                  </c:pt>
                  <c:pt idx="17">
                    <c:v>DD2B</c:v>
                  </c:pt>
                  <c:pt idx="18">
                    <c:v>DD2B</c:v>
                  </c:pt>
                  <c:pt idx="19">
                    <c:v>DD2B</c:v>
                  </c:pt>
                </c:lvl>
                <c:lvl>
                  <c:pt idx="0">
                    <c:v>2210001</c:v>
                  </c:pt>
                  <c:pt idx="1">
                    <c:v>2210002</c:v>
                  </c:pt>
                  <c:pt idx="2">
                    <c:v>2210003</c:v>
                  </c:pt>
                  <c:pt idx="3">
                    <c:v>2210004</c:v>
                  </c:pt>
                  <c:pt idx="4">
                    <c:v>2210005</c:v>
                  </c:pt>
                  <c:pt idx="5">
                    <c:v>2210006</c:v>
                  </c:pt>
                  <c:pt idx="6">
                    <c:v>2210007</c:v>
                  </c:pt>
                  <c:pt idx="7">
                    <c:v>2210008</c:v>
                  </c:pt>
                  <c:pt idx="8">
                    <c:v>2210009</c:v>
                  </c:pt>
                  <c:pt idx="9">
                    <c:v>22100010</c:v>
                  </c:pt>
                  <c:pt idx="10">
                    <c:v>22100011</c:v>
                  </c:pt>
                  <c:pt idx="11">
                    <c:v>22100012</c:v>
                  </c:pt>
                  <c:pt idx="12">
                    <c:v>22100013</c:v>
                  </c:pt>
                  <c:pt idx="13">
                    <c:v>22100014</c:v>
                  </c:pt>
                  <c:pt idx="14">
                    <c:v>22100015</c:v>
                  </c:pt>
                  <c:pt idx="15">
                    <c:v>22100016</c:v>
                  </c:pt>
                  <c:pt idx="16">
                    <c:v>22100017</c:v>
                  </c:pt>
                  <c:pt idx="17">
                    <c:v>22100018</c:v>
                  </c:pt>
                  <c:pt idx="18">
                    <c:v>22100019</c:v>
                  </c:pt>
                  <c:pt idx="19">
                    <c:v>22100020</c:v>
                  </c:pt>
                </c:lvl>
                <c:lvl>
                  <c:pt idx="0">
                    <c:v>Sinh viên 1</c:v>
                  </c:pt>
                  <c:pt idx="1">
                    <c:v>Sinh viên 2</c:v>
                  </c:pt>
                  <c:pt idx="2">
                    <c:v>Sinh viên 3 </c:v>
                  </c:pt>
                  <c:pt idx="3">
                    <c:v>Sinh viên 4</c:v>
                  </c:pt>
                  <c:pt idx="4">
                    <c:v>Sinh viên 5</c:v>
                  </c:pt>
                  <c:pt idx="5">
                    <c:v>Sinh viên 6</c:v>
                  </c:pt>
                  <c:pt idx="6">
                    <c:v>Sinh viên 7</c:v>
                  </c:pt>
                  <c:pt idx="7">
                    <c:v>Sinh viên 8</c:v>
                  </c:pt>
                  <c:pt idx="8">
                    <c:v>Sinh viên 9</c:v>
                  </c:pt>
                  <c:pt idx="9">
                    <c:v>Sinh viên 10</c:v>
                  </c:pt>
                  <c:pt idx="10">
                    <c:v>Sinh viên 11</c:v>
                  </c:pt>
                  <c:pt idx="11">
                    <c:v>Sinh viên 12</c:v>
                  </c:pt>
                  <c:pt idx="12">
                    <c:v>Sinh viên 13</c:v>
                  </c:pt>
                  <c:pt idx="13">
                    <c:v>Sinh viên 14</c:v>
                  </c:pt>
                  <c:pt idx="14">
                    <c:v>Sinh viên 15</c:v>
                  </c:pt>
                  <c:pt idx="15">
                    <c:v>Sinh viên 16</c:v>
                  </c:pt>
                  <c:pt idx="16">
                    <c:v>Sinh viên 17</c:v>
                  </c:pt>
                  <c:pt idx="17">
                    <c:v>Sinh viên 18</c:v>
                  </c:pt>
                  <c:pt idx="18">
                    <c:v>Sinh viên 19</c:v>
                  </c:pt>
                  <c:pt idx="19">
                    <c:v>Sinh viên 20</c:v>
                  </c:pt>
                </c:lvl>
              </c:multiLvlStrCache>
            </c:multiLvlStrRef>
          </c:cat>
          <c:val>
            <c:numRef>
              <c:f>Sheet1!$F$2:$F$21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Câu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Sheet1!$A$2:$C$21</c:f>
              <c:multiLvlStrCache>
                <c:ptCount val="20"/>
                <c:lvl>
                  <c:pt idx="0">
                    <c:v>DD2B</c:v>
                  </c:pt>
                  <c:pt idx="1">
                    <c:v>DD2B</c:v>
                  </c:pt>
                  <c:pt idx="2">
                    <c:v>DD2B</c:v>
                  </c:pt>
                  <c:pt idx="3">
                    <c:v>DD2B</c:v>
                  </c:pt>
                  <c:pt idx="4">
                    <c:v>DD2B</c:v>
                  </c:pt>
                  <c:pt idx="5">
                    <c:v>DD2B</c:v>
                  </c:pt>
                  <c:pt idx="6">
                    <c:v>DD2B</c:v>
                  </c:pt>
                  <c:pt idx="7">
                    <c:v>DD2B</c:v>
                  </c:pt>
                  <c:pt idx="8">
                    <c:v>DD2B</c:v>
                  </c:pt>
                  <c:pt idx="9">
                    <c:v>DD2B</c:v>
                  </c:pt>
                  <c:pt idx="10">
                    <c:v>DD2B</c:v>
                  </c:pt>
                  <c:pt idx="11">
                    <c:v>DD2B</c:v>
                  </c:pt>
                  <c:pt idx="12">
                    <c:v>DD2B</c:v>
                  </c:pt>
                  <c:pt idx="13">
                    <c:v>DD2B</c:v>
                  </c:pt>
                  <c:pt idx="14">
                    <c:v>DD2B</c:v>
                  </c:pt>
                  <c:pt idx="15">
                    <c:v>DD2B</c:v>
                  </c:pt>
                  <c:pt idx="16">
                    <c:v>DD2B</c:v>
                  </c:pt>
                  <c:pt idx="17">
                    <c:v>DD2B</c:v>
                  </c:pt>
                  <c:pt idx="18">
                    <c:v>DD2B</c:v>
                  </c:pt>
                  <c:pt idx="19">
                    <c:v>DD2B</c:v>
                  </c:pt>
                </c:lvl>
                <c:lvl>
                  <c:pt idx="0">
                    <c:v>2210001</c:v>
                  </c:pt>
                  <c:pt idx="1">
                    <c:v>2210002</c:v>
                  </c:pt>
                  <c:pt idx="2">
                    <c:v>2210003</c:v>
                  </c:pt>
                  <c:pt idx="3">
                    <c:v>2210004</c:v>
                  </c:pt>
                  <c:pt idx="4">
                    <c:v>2210005</c:v>
                  </c:pt>
                  <c:pt idx="5">
                    <c:v>2210006</c:v>
                  </c:pt>
                  <c:pt idx="6">
                    <c:v>2210007</c:v>
                  </c:pt>
                  <c:pt idx="7">
                    <c:v>2210008</c:v>
                  </c:pt>
                  <c:pt idx="8">
                    <c:v>2210009</c:v>
                  </c:pt>
                  <c:pt idx="9">
                    <c:v>22100010</c:v>
                  </c:pt>
                  <c:pt idx="10">
                    <c:v>22100011</c:v>
                  </c:pt>
                  <c:pt idx="11">
                    <c:v>22100012</c:v>
                  </c:pt>
                  <c:pt idx="12">
                    <c:v>22100013</c:v>
                  </c:pt>
                  <c:pt idx="13">
                    <c:v>22100014</c:v>
                  </c:pt>
                  <c:pt idx="14">
                    <c:v>22100015</c:v>
                  </c:pt>
                  <c:pt idx="15">
                    <c:v>22100016</c:v>
                  </c:pt>
                  <c:pt idx="16">
                    <c:v>22100017</c:v>
                  </c:pt>
                  <c:pt idx="17">
                    <c:v>22100018</c:v>
                  </c:pt>
                  <c:pt idx="18">
                    <c:v>22100019</c:v>
                  </c:pt>
                  <c:pt idx="19">
                    <c:v>22100020</c:v>
                  </c:pt>
                </c:lvl>
                <c:lvl>
                  <c:pt idx="0">
                    <c:v>Sinh viên 1</c:v>
                  </c:pt>
                  <c:pt idx="1">
                    <c:v>Sinh viên 2</c:v>
                  </c:pt>
                  <c:pt idx="2">
                    <c:v>Sinh viên 3 </c:v>
                  </c:pt>
                  <c:pt idx="3">
                    <c:v>Sinh viên 4</c:v>
                  </c:pt>
                  <c:pt idx="4">
                    <c:v>Sinh viên 5</c:v>
                  </c:pt>
                  <c:pt idx="5">
                    <c:v>Sinh viên 6</c:v>
                  </c:pt>
                  <c:pt idx="6">
                    <c:v>Sinh viên 7</c:v>
                  </c:pt>
                  <c:pt idx="7">
                    <c:v>Sinh viên 8</c:v>
                  </c:pt>
                  <c:pt idx="8">
                    <c:v>Sinh viên 9</c:v>
                  </c:pt>
                  <c:pt idx="9">
                    <c:v>Sinh viên 10</c:v>
                  </c:pt>
                  <c:pt idx="10">
                    <c:v>Sinh viên 11</c:v>
                  </c:pt>
                  <c:pt idx="11">
                    <c:v>Sinh viên 12</c:v>
                  </c:pt>
                  <c:pt idx="12">
                    <c:v>Sinh viên 13</c:v>
                  </c:pt>
                  <c:pt idx="13">
                    <c:v>Sinh viên 14</c:v>
                  </c:pt>
                  <c:pt idx="14">
                    <c:v>Sinh viên 15</c:v>
                  </c:pt>
                  <c:pt idx="15">
                    <c:v>Sinh viên 16</c:v>
                  </c:pt>
                  <c:pt idx="16">
                    <c:v>Sinh viên 17</c:v>
                  </c:pt>
                  <c:pt idx="17">
                    <c:v>Sinh viên 18</c:v>
                  </c:pt>
                  <c:pt idx="18">
                    <c:v>Sinh viên 19</c:v>
                  </c:pt>
                  <c:pt idx="19">
                    <c:v>Sinh viên 20</c:v>
                  </c:pt>
                </c:lvl>
              </c:multiLvlStrCache>
            </c:multiLvlStrRef>
          </c:cat>
          <c:val>
            <c:numRef>
              <c:f>Sheet1!$G$2:$G$21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Câu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Sheet1!$A$2:$C$21</c:f>
              <c:multiLvlStrCache>
                <c:ptCount val="20"/>
                <c:lvl>
                  <c:pt idx="0">
                    <c:v>DD2B</c:v>
                  </c:pt>
                  <c:pt idx="1">
                    <c:v>DD2B</c:v>
                  </c:pt>
                  <c:pt idx="2">
                    <c:v>DD2B</c:v>
                  </c:pt>
                  <c:pt idx="3">
                    <c:v>DD2B</c:v>
                  </c:pt>
                  <c:pt idx="4">
                    <c:v>DD2B</c:v>
                  </c:pt>
                  <c:pt idx="5">
                    <c:v>DD2B</c:v>
                  </c:pt>
                  <c:pt idx="6">
                    <c:v>DD2B</c:v>
                  </c:pt>
                  <c:pt idx="7">
                    <c:v>DD2B</c:v>
                  </c:pt>
                  <c:pt idx="8">
                    <c:v>DD2B</c:v>
                  </c:pt>
                  <c:pt idx="9">
                    <c:v>DD2B</c:v>
                  </c:pt>
                  <c:pt idx="10">
                    <c:v>DD2B</c:v>
                  </c:pt>
                  <c:pt idx="11">
                    <c:v>DD2B</c:v>
                  </c:pt>
                  <c:pt idx="12">
                    <c:v>DD2B</c:v>
                  </c:pt>
                  <c:pt idx="13">
                    <c:v>DD2B</c:v>
                  </c:pt>
                  <c:pt idx="14">
                    <c:v>DD2B</c:v>
                  </c:pt>
                  <c:pt idx="15">
                    <c:v>DD2B</c:v>
                  </c:pt>
                  <c:pt idx="16">
                    <c:v>DD2B</c:v>
                  </c:pt>
                  <c:pt idx="17">
                    <c:v>DD2B</c:v>
                  </c:pt>
                  <c:pt idx="18">
                    <c:v>DD2B</c:v>
                  </c:pt>
                  <c:pt idx="19">
                    <c:v>DD2B</c:v>
                  </c:pt>
                </c:lvl>
                <c:lvl>
                  <c:pt idx="0">
                    <c:v>2210001</c:v>
                  </c:pt>
                  <c:pt idx="1">
                    <c:v>2210002</c:v>
                  </c:pt>
                  <c:pt idx="2">
                    <c:v>2210003</c:v>
                  </c:pt>
                  <c:pt idx="3">
                    <c:v>2210004</c:v>
                  </c:pt>
                  <c:pt idx="4">
                    <c:v>2210005</c:v>
                  </c:pt>
                  <c:pt idx="5">
                    <c:v>2210006</c:v>
                  </c:pt>
                  <c:pt idx="6">
                    <c:v>2210007</c:v>
                  </c:pt>
                  <c:pt idx="7">
                    <c:v>2210008</c:v>
                  </c:pt>
                  <c:pt idx="8">
                    <c:v>2210009</c:v>
                  </c:pt>
                  <c:pt idx="9">
                    <c:v>22100010</c:v>
                  </c:pt>
                  <c:pt idx="10">
                    <c:v>22100011</c:v>
                  </c:pt>
                  <c:pt idx="11">
                    <c:v>22100012</c:v>
                  </c:pt>
                  <c:pt idx="12">
                    <c:v>22100013</c:v>
                  </c:pt>
                  <c:pt idx="13">
                    <c:v>22100014</c:v>
                  </c:pt>
                  <c:pt idx="14">
                    <c:v>22100015</c:v>
                  </c:pt>
                  <c:pt idx="15">
                    <c:v>22100016</c:v>
                  </c:pt>
                  <c:pt idx="16">
                    <c:v>22100017</c:v>
                  </c:pt>
                  <c:pt idx="17">
                    <c:v>22100018</c:v>
                  </c:pt>
                  <c:pt idx="18">
                    <c:v>22100019</c:v>
                  </c:pt>
                  <c:pt idx="19">
                    <c:v>22100020</c:v>
                  </c:pt>
                </c:lvl>
                <c:lvl>
                  <c:pt idx="0">
                    <c:v>Sinh viên 1</c:v>
                  </c:pt>
                  <c:pt idx="1">
                    <c:v>Sinh viên 2</c:v>
                  </c:pt>
                  <c:pt idx="2">
                    <c:v>Sinh viên 3 </c:v>
                  </c:pt>
                  <c:pt idx="3">
                    <c:v>Sinh viên 4</c:v>
                  </c:pt>
                  <c:pt idx="4">
                    <c:v>Sinh viên 5</c:v>
                  </c:pt>
                  <c:pt idx="5">
                    <c:v>Sinh viên 6</c:v>
                  </c:pt>
                  <c:pt idx="6">
                    <c:v>Sinh viên 7</c:v>
                  </c:pt>
                  <c:pt idx="7">
                    <c:v>Sinh viên 8</c:v>
                  </c:pt>
                  <c:pt idx="8">
                    <c:v>Sinh viên 9</c:v>
                  </c:pt>
                  <c:pt idx="9">
                    <c:v>Sinh viên 10</c:v>
                  </c:pt>
                  <c:pt idx="10">
                    <c:v>Sinh viên 11</c:v>
                  </c:pt>
                  <c:pt idx="11">
                    <c:v>Sinh viên 12</c:v>
                  </c:pt>
                  <c:pt idx="12">
                    <c:v>Sinh viên 13</c:v>
                  </c:pt>
                  <c:pt idx="13">
                    <c:v>Sinh viên 14</c:v>
                  </c:pt>
                  <c:pt idx="14">
                    <c:v>Sinh viên 15</c:v>
                  </c:pt>
                  <c:pt idx="15">
                    <c:v>Sinh viên 16</c:v>
                  </c:pt>
                  <c:pt idx="16">
                    <c:v>Sinh viên 17</c:v>
                  </c:pt>
                  <c:pt idx="17">
                    <c:v>Sinh viên 18</c:v>
                  </c:pt>
                  <c:pt idx="18">
                    <c:v>Sinh viên 19</c:v>
                  </c:pt>
                  <c:pt idx="19">
                    <c:v>Sinh viên 20</c:v>
                  </c:pt>
                </c:lvl>
              </c:multiLvlStrCache>
            </c:multiLvlStrRef>
          </c:cat>
          <c:val>
            <c:numRef>
              <c:f>Sheet1!$H$2:$H$21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Tổng điểm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Sheet1!$A$2:$C$21</c:f>
              <c:multiLvlStrCache>
                <c:ptCount val="20"/>
                <c:lvl>
                  <c:pt idx="0">
                    <c:v>DD2B</c:v>
                  </c:pt>
                  <c:pt idx="1">
                    <c:v>DD2B</c:v>
                  </c:pt>
                  <c:pt idx="2">
                    <c:v>DD2B</c:v>
                  </c:pt>
                  <c:pt idx="3">
                    <c:v>DD2B</c:v>
                  </c:pt>
                  <c:pt idx="4">
                    <c:v>DD2B</c:v>
                  </c:pt>
                  <c:pt idx="5">
                    <c:v>DD2B</c:v>
                  </c:pt>
                  <c:pt idx="6">
                    <c:v>DD2B</c:v>
                  </c:pt>
                  <c:pt idx="7">
                    <c:v>DD2B</c:v>
                  </c:pt>
                  <c:pt idx="8">
                    <c:v>DD2B</c:v>
                  </c:pt>
                  <c:pt idx="9">
                    <c:v>DD2B</c:v>
                  </c:pt>
                  <c:pt idx="10">
                    <c:v>DD2B</c:v>
                  </c:pt>
                  <c:pt idx="11">
                    <c:v>DD2B</c:v>
                  </c:pt>
                  <c:pt idx="12">
                    <c:v>DD2B</c:v>
                  </c:pt>
                  <c:pt idx="13">
                    <c:v>DD2B</c:v>
                  </c:pt>
                  <c:pt idx="14">
                    <c:v>DD2B</c:v>
                  </c:pt>
                  <c:pt idx="15">
                    <c:v>DD2B</c:v>
                  </c:pt>
                  <c:pt idx="16">
                    <c:v>DD2B</c:v>
                  </c:pt>
                  <c:pt idx="17">
                    <c:v>DD2B</c:v>
                  </c:pt>
                  <c:pt idx="18">
                    <c:v>DD2B</c:v>
                  </c:pt>
                  <c:pt idx="19">
                    <c:v>DD2B</c:v>
                  </c:pt>
                </c:lvl>
                <c:lvl>
                  <c:pt idx="0">
                    <c:v>2210001</c:v>
                  </c:pt>
                  <c:pt idx="1">
                    <c:v>2210002</c:v>
                  </c:pt>
                  <c:pt idx="2">
                    <c:v>2210003</c:v>
                  </c:pt>
                  <c:pt idx="3">
                    <c:v>2210004</c:v>
                  </c:pt>
                  <c:pt idx="4">
                    <c:v>2210005</c:v>
                  </c:pt>
                  <c:pt idx="5">
                    <c:v>2210006</c:v>
                  </c:pt>
                  <c:pt idx="6">
                    <c:v>2210007</c:v>
                  </c:pt>
                  <c:pt idx="7">
                    <c:v>2210008</c:v>
                  </c:pt>
                  <c:pt idx="8">
                    <c:v>2210009</c:v>
                  </c:pt>
                  <c:pt idx="9">
                    <c:v>22100010</c:v>
                  </c:pt>
                  <c:pt idx="10">
                    <c:v>22100011</c:v>
                  </c:pt>
                  <c:pt idx="11">
                    <c:v>22100012</c:v>
                  </c:pt>
                  <c:pt idx="12">
                    <c:v>22100013</c:v>
                  </c:pt>
                  <c:pt idx="13">
                    <c:v>22100014</c:v>
                  </c:pt>
                  <c:pt idx="14">
                    <c:v>22100015</c:v>
                  </c:pt>
                  <c:pt idx="15">
                    <c:v>22100016</c:v>
                  </c:pt>
                  <c:pt idx="16">
                    <c:v>22100017</c:v>
                  </c:pt>
                  <c:pt idx="17">
                    <c:v>22100018</c:v>
                  </c:pt>
                  <c:pt idx="18">
                    <c:v>22100019</c:v>
                  </c:pt>
                  <c:pt idx="19">
                    <c:v>22100020</c:v>
                  </c:pt>
                </c:lvl>
                <c:lvl>
                  <c:pt idx="0">
                    <c:v>Sinh viên 1</c:v>
                  </c:pt>
                  <c:pt idx="1">
                    <c:v>Sinh viên 2</c:v>
                  </c:pt>
                  <c:pt idx="2">
                    <c:v>Sinh viên 3 </c:v>
                  </c:pt>
                  <c:pt idx="3">
                    <c:v>Sinh viên 4</c:v>
                  </c:pt>
                  <c:pt idx="4">
                    <c:v>Sinh viên 5</c:v>
                  </c:pt>
                  <c:pt idx="5">
                    <c:v>Sinh viên 6</c:v>
                  </c:pt>
                  <c:pt idx="6">
                    <c:v>Sinh viên 7</c:v>
                  </c:pt>
                  <c:pt idx="7">
                    <c:v>Sinh viên 8</c:v>
                  </c:pt>
                  <c:pt idx="8">
                    <c:v>Sinh viên 9</c:v>
                  </c:pt>
                  <c:pt idx="9">
                    <c:v>Sinh viên 10</c:v>
                  </c:pt>
                  <c:pt idx="10">
                    <c:v>Sinh viên 11</c:v>
                  </c:pt>
                  <c:pt idx="11">
                    <c:v>Sinh viên 12</c:v>
                  </c:pt>
                  <c:pt idx="12">
                    <c:v>Sinh viên 13</c:v>
                  </c:pt>
                  <c:pt idx="13">
                    <c:v>Sinh viên 14</c:v>
                  </c:pt>
                  <c:pt idx="14">
                    <c:v>Sinh viên 15</c:v>
                  </c:pt>
                  <c:pt idx="15">
                    <c:v>Sinh viên 16</c:v>
                  </c:pt>
                  <c:pt idx="16">
                    <c:v>Sinh viên 17</c:v>
                  </c:pt>
                  <c:pt idx="17">
                    <c:v>Sinh viên 18</c:v>
                  </c:pt>
                  <c:pt idx="18">
                    <c:v>Sinh viên 19</c:v>
                  </c:pt>
                  <c:pt idx="19">
                    <c:v>Sinh viên 20</c:v>
                  </c:pt>
                </c:lvl>
              </c:multiLvlStrCache>
            </c:multiLvlStrRef>
          </c:cat>
          <c:val>
            <c:numRef>
              <c:f>Sheet1!$I$2:$I$21</c:f>
              <c:numCache>
                <c:formatCode>General</c:formatCode>
                <c:ptCount val="20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</c:ser>
        <c:ser>
          <c:idx val="6"/>
          <c:order val="6"/>
          <c:tx>
            <c:strRef>
              <c:f>Sheet1!$J$1</c:f>
              <c:strCache>
                <c:ptCount val="1"/>
                <c:pt idx="0">
                  <c:v>Tỷ lệ đúng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Sheet1!$A$2:$C$21</c:f>
              <c:multiLvlStrCache>
                <c:ptCount val="20"/>
                <c:lvl>
                  <c:pt idx="0">
                    <c:v>DD2B</c:v>
                  </c:pt>
                  <c:pt idx="1">
                    <c:v>DD2B</c:v>
                  </c:pt>
                  <c:pt idx="2">
                    <c:v>DD2B</c:v>
                  </c:pt>
                  <c:pt idx="3">
                    <c:v>DD2B</c:v>
                  </c:pt>
                  <c:pt idx="4">
                    <c:v>DD2B</c:v>
                  </c:pt>
                  <c:pt idx="5">
                    <c:v>DD2B</c:v>
                  </c:pt>
                  <c:pt idx="6">
                    <c:v>DD2B</c:v>
                  </c:pt>
                  <c:pt idx="7">
                    <c:v>DD2B</c:v>
                  </c:pt>
                  <c:pt idx="8">
                    <c:v>DD2B</c:v>
                  </c:pt>
                  <c:pt idx="9">
                    <c:v>DD2B</c:v>
                  </c:pt>
                  <c:pt idx="10">
                    <c:v>DD2B</c:v>
                  </c:pt>
                  <c:pt idx="11">
                    <c:v>DD2B</c:v>
                  </c:pt>
                  <c:pt idx="12">
                    <c:v>DD2B</c:v>
                  </c:pt>
                  <c:pt idx="13">
                    <c:v>DD2B</c:v>
                  </c:pt>
                  <c:pt idx="14">
                    <c:v>DD2B</c:v>
                  </c:pt>
                  <c:pt idx="15">
                    <c:v>DD2B</c:v>
                  </c:pt>
                  <c:pt idx="16">
                    <c:v>DD2B</c:v>
                  </c:pt>
                  <c:pt idx="17">
                    <c:v>DD2B</c:v>
                  </c:pt>
                  <c:pt idx="18">
                    <c:v>DD2B</c:v>
                  </c:pt>
                  <c:pt idx="19">
                    <c:v>DD2B</c:v>
                  </c:pt>
                </c:lvl>
                <c:lvl>
                  <c:pt idx="0">
                    <c:v>2210001</c:v>
                  </c:pt>
                  <c:pt idx="1">
                    <c:v>2210002</c:v>
                  </c:pt>
                  <c:pt idx="2">
                    <c:v>2210003</c:v>
                  </c:pt>
                  <c:pt idx="3">
                    <c:v>2210004</c:v>
                  </c:pt>
                  <c:pt idx="4">
                    <c:v>2210005</c:v>
                  </c:pt>
                  <c:pt idx="5">
                    <c:v>2210006</c:v>
                  </c:pt>
                  <c:pt idx="6">
                    <c:v>2210007</c:v>
                  </c:pt>
                  <c:pt idx="7">
                    <c:v>2210008</c:v>
                  </c:pt>
                  <c:pt idx="8">
                    <c:v>2210009</c:v>
                  </c:pt>
                  <c:pt idx="9">
                    <c:v>22100010</c:v>
                  </c:pt>
                  <c:pt idx="10">
                    <c:v>22100011</c:v>
                  </c:pt>
                  <c:pt idx="11">
                    <c:v>22100012</c:v>
                  </c:pt>
                  <c:pt idx="12">
                    <c:v>22100013</c:v>
                  </c:pt>
                  <c:pt idx="13">
                    <c:v>22100014</c:v>
                  </c:pt>
                  <c:pt idx="14">
                    <c:v>22100015</c:v>
                  </c:pt>
                  <c:pt idx="15">
                    <c:v>22100016</c:v>
                  </c:pt>
                  <c:pt idx="16">
                    <c:v>22100017</c:v>
                  </c:pt>
                  <c:pt idx="17">
                    <c:v>22100018</c:v>
                  </c:pt>
                  <c:pt idx="18">
                    <c:v>22100019</c:v>
                  </c:pt>
                  <c:pt idx="19">
                    <c:v>22100020</c:v>
                  </c:pt>
                </c:lvl>
                <c:lvl>
                  <c:pt idx="0">
                    <c:v>Sinh viên 1</c:v>
                  </c:pt>
                  <c:pt idx="1">
                    <c:v>Sinh viên 2</c:v>
                  </c:pt>
                  <c:pt idx="2">
                    <c:v>Sinh viên 3 </c:v>
                  </c:pt>
                  <c:pt idx="3">
                    <c:v>Sinh viên 4</c:v>
                  </c:pt>
                  <c:pt idx="4">
                    <c:v>Sinh viên 5</c:v>
                  </c:pt>
                  <c:pt idx="5">
                    <c:v>Sinh viên 6</c:v>
                  </c:pt>
                  <c:pt idx="6">
                    <c:v>Sinh viên 7</c:v>
                  </c:pt>
                  <c:pt idx="7">
                    <c:v>Sinh viên 8</c:v>
                  </c:pt>
                  <c:pt idx="8">
                    <c:v>Sinh viên 9</c:v>
                  </c:pt>
                  <c:pt idx="9">
                    <c:v>Sinh viên 10</c:v>
                  </c:pt>
                  <c:pt idx="10">
                    <c:v>Sinh viên 11</c:v>
                  </c:pt>
                  <c:pt idx="11">
                    <c:v>Sinh viên 12</c:v>
                  </c:pt>
                  <c:pt idx="12">
                    <c:v>Sinh viên 13</c:v>
                  </c:pt>
                  <c:pt idx="13">
                    <c:v>Sinh viên 14</c:v>
                  </c:pt>
                  <c:pt idx="14">
                    <c:v>Sinh viên 15</c:v>
                  </c:pt>
                  <c:pt idx="15">
                    <c:v>Sinh viên 16</c:v>
                  </c:pt>
                  <c:pt idx="16">
                    <c:v>Sinh viên 17</c:v>
                  </c:pt>
                  <c:pt idx="17">
                    <c:v>Sinh viên 18</c:v>
                  </c:pt>
                  <c:pt idx="18">
                    <c:v>Sinh viên 19</c:v>
                  </c:pt>
                  <c:pt idx="19">
                    <c:v>Sinh viên 20</c:v>
                  </c:pt>
                </c:lvl>
              </c:multiLvlStrCache>
            </c:multiLvlStrRef>
          </c:cat>
          <c:val>
            <c:numRef>
              <c:f>Sheet1!$J$2:$J$21</c:f>
              <c:numCache>
                <c:formatCode>General</c:formatCode>
                <c:ptCount val="20"/>
                <c:pt idx="0">
                  <c:v>0.8</c:v>
                </c:pt>
                <c:pt idx="1">
                  <c:v>0</c:v>
                </c:pt>
                <c:pt idx="2">
                  <c:v>0.6</c:v>
                </c:pt>
                <c:pt idx="3">
                  <c:v>0.4</c:v>
                </c:pt>
                <c:pt idx="4">
                  <c:v>0.8</c:v>
                </c:pt>
                <c:pt idx="5">
                  <c:v>0.4</c:v>
                </c:pt>
                <c:pt idx="6">
                  <c:v>0.8</c:v>
                </c:pt>
                <c:pt idx="7">
                  <c:v>0</c:v>
                </c:pt>
                <c:pt idx="8">
                  <c:v>0.4</c:v>
                </c:pt>
                <c:pt idx="9">
                  <c:v>0.4</c:v>
                </c:pt>
                <c:pt idx="10">
                  <c:v>0.6</c:v>
                </c:pt>
                <c:pt idx="11">
                  <c:v>0.2</c:v>
                </c:pt>
                <c:pt idx="12">
                  <c:v>0.2</c:v>
                </c:pt>
                <c:pt idx="13">
                  <c:v>0.4</c:v>
                </c:pt>
                <c:pt idx="14">
                  <c:v>0.6</c:v>
                </c:pt>
                <c:pt idx="15">
                  <c:v>0.4</c:v>
                </c:pt>
                <c:pt idx="16">
                  <c:v>0.4</c:v>
                </c:pt>
                <c:pt idx="17">
                  <c:v>0.6</c:v>
                </c:pt>
                <c:pt idx="18">
                  <c:v>0.8</c:v>
                </c:pt>
                <c:pt idx="19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5704167"/>
        <c:axId val="623036211"/>
      </c:barChart>
      <c:catAx>
        <c:axId val="125704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036211"/>
        <c:crosses val="autoZero"/>
        <c:auto val="1"/>
        <c:lblAlgn val="ctr"/>
        <c:lblOffset val="100"/>
        <c:noMultiLvlLbl val="0"/>
      </c:catAx>
      <c:valAx>
        <c:axId val="6230362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704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22</xdr:row>
      <xdr:rowOff>45720</xdr:rowOff>
    </xdr:from>
    <xdr:to>
      <xdr:col>6</xdr:col>
      <xdr:colOff>437515</xdr:colOff>
      <xdr:row>37</xdr:row>
      <xdr:rowOff>106680</xdr:rowOff>
    </xdr:to>
    <xdr:graphicFrame>
      <xdr:nvGraphicFramePr>
        <xdr:cNvPr id="4" name="Chart 3"/>
        <xdr:cNvGraphicFramePr/>
      </xdr:nvGraphicFramePr>
      <xdr:xfrm>
        <a:off x="635" y="5135880"/>
        <a:ext cx="482600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topLeftCell="A11" workbookViewId="0">
      <selection activeCell="K26" sqref="K25:L26"/>
    </sheetView>
  </sheetViews>
  <sheetFormatPr defaultColWidth="8.88888888888889" defaultRowHeight="14.4"/>
  <cols>
    <col min="1" max="1" width="12.5555555555556" customWidth="1"/>
    <col min="2" max="2" width="12.4444444444444" customWidth="1"/>
    <col min="3" max="3" width="12.3333333333333" customWidth="1"/>
    <col min="10" max="10" width="12.8888888888889" customWidth="1"/>
    <col min="11" max="11" width="11.2222222222222" customWidth="1"/>
    <col min="12" max="12" width="41.1111111111111" customWidth="1"/>
    <col min="13" max="13" width="19" customWidth="1"/>
    <col min="14" max="14" width="13.5555555555556" customWidth="1"/>
  </cols>
  <sheetData>
    <row r="1" ht="18.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</row>
    <row r="2" ht="18.4" customHeight="1" spans="1:15">
      <c r="A2" s="2" t="s">
        <v>14</v>
      </c>
      <c r="B2" s="2">
        <v>2210001</v>
      </c>
      <c r="C2" s="2" t="s">
        <v>15</v>
      </c>
      <c r="D2" s="2">
        <v>1</v>
      </c>
      <c r="E2" s="2">
        <v>1</v>
      </c>
      <c r="F2" s="2">
        <v>1</v>
      </c>
      <c r="G2" s="2">
        <v>0</v>
      </c>
      <c r="H2" s="2">
        <v>1</v>
      </c>
      <c r="I2" s="2">
        <f t="shared" ref="I2:I10" si="0">SUM(D2:H2)</f>
        <v>4</v>
      </c>
      <c r="J2" s="2">
        <f t="shared" ref="J2:J21" si="1">AVERAGE(D2:H2)</f>
        <v>0.8</v>
      </c>
      <c r="K2" s="2" t="str">
        <f t="shared" ref="K2:K14" si="2">IF(I2&gt;=4,"Tốt",IF(I2&gt;=3,"Khá","Yếu"))</f>
        <v>Tốt</v>
      </c>
      <c r="L2" s="4" t="str">
        <f t="shared" ref="L2:L21" si="3">_xlfn.CONCAT(A2," (",B2,") - Đúng ",J2,"%.")</f>
        <v>Sinh viên 1 (2210001) - Đúng 0,8%.</v>
      </c>
      <c r="M2" s="2">
        <f>MAX(I2:I21)</f>
        <v>4</v>
      </c>
      <c r="N2" s="2">
        <f>MIN(I2:I21)</f>
        <v>0</v>
      </c>
      <c r="O2" s="3"/>
    </row>
    <row r="3" ht="18.4" customHeight="1" spans="1:15">
      <c r="A3" s="2" t="s">
        <v>16</v>
      </c>
      <c r="B3" s="2">
        <v>2210002</v>
      </c>
      <c r="C3" s="2" t="s">
        <v>15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f t="shared" si="0"/>
        <v>0</v>
      </c>
      <c r="J3" s="2">
        <f t="shared" si="1"/>
        <v>0</v>
      </c>
      <c r="K3" s="2" t="str">
        <f t="shared" si="2"/>
        <v>Yếu</v>
      </c>
      <c r="L3" s="4" t="str">
        <f t="shared" si="3"/>
        <v>Sinh viên 2 (2210002) - Đúng 0%.</v>
      </c>
      <c r="M3" s="2"/>
      <c r="N3" s="2"/>
      <c r="O3" s="3"/>
    </row>
    <row r="4" ht="18.4" customHeight="1" spans="1:15">
      <c r="A4" s="2" t="s">
        <v>17</v>
      </c>
      <c r="B4" s="2">
        <v>2210003</v>
      </c>
      <c r="C4" s="2" t="s">
        <v>15</v>
      </c>
      <c r="D4" s="2">
        <v>1</v>
      </c>
      <c r="E4" s="2">
        <v>0</v>
      </c>
      <c r="F4" s="2">
        <v>1</v>
      </c>
      <c r="G4" s="2">
        <v>0</v>
      </c>
      <c r="H4" s="2">
        <v>1</v>
      </c>
      <c r="I4" s="2">
        <f t="shared" si="0"/>
        <v>3</v>
      </c>
      <c r="J4" s="2">
        <f t="shared" si="1"/>
        <v>0.6</v>
      </c>
      <c r="K4" s="4" t="str">
        <f t="shared" si="2"/>
        <v>Khá</v>
      </c>
      <c r="L4" s="4" t="str">
        <f t="shared" si="3"/>
        <v>Sinh viên 3  (2210003) - Đúng 0,6%.</v>
      </c>
      <c r="M4" s="2"/>
      <c r="N4" s="2"/>
      <c r="O4" s="3"/>
    </row>
    <row r="5" ht="18.4" customHeight="1" spans="1:15">
      <c r="A5" s="2" t="s">
        <v>18</v>
      </c>
      <c r="B5" s="2">
        <v>2210004</v>
      </c>
      <c r="C5" s="2" t="s">
        <v>15</v>
      </c>
      <c r="D5" s="2">
        <v>0</v>
      </c>
      <c r="E5" s="2">
        <v>0</v>
      </c>
      <c r="F5" s="2">
        <v>1</v>
      </c>
      <c r="G5" s="2">
        <v>0</v>
      </c>
      <c r="H5" s="2">
        <v>1</v>
      </c>
      <c r="I5" s="2">
        <f t="shared" si="0"/>
        <v>2</v>
      </c>
      <c r="J5" s="2">
        <f t="shared" si="1"/>
        <v>0.4</v>
      </c>
      <c r="K5" s="2" t="str">
        <f t="shared" si="2"/>
        <v>Yếu</v>
      </c>
      <c r="L5" s="4" t="str">
        <f t="shared" si="3"/>
        <v>Sinh viên 4 (2210004) - Đúng 0,4%.</v>
      </c>
      <c r="M5" s="2"/>
      <c r="N5" s="2"/>
      <c r="O5" s="3"/>
    </row>
    <row r="6" ht="18.4" customHeight="1" spans="1:15">
      <c r="A6" s="2" t="s">
        <v>19</v>
      </c>
      <c r="B6" s="2">
        <v>2210005</v>
      </c>
      <c r="C6" s="2" t="s">
        <v>15</v>
      </c>
      <c r="D6" s="2">
        <v>1</v>
      </c>
      <c r="E6" s="2">
        <v>1</v>
      </c>
      <c r="F6" s="2">
        <v>0</v>
      </c>
      <c r="G6" s="2">
        <v>1</v>
      </c>
      <c r="H6" s="2">
        <v>1</v>
      </c>
      <c r="I6" s="2">
        <f t="shared" si="0"/>
        <v>4</v>
      </c>
      <c r="J6" s="2">
        <f t="shared" si="1"/>
        <v>0.8</v>
      </c>
      <c r="K6" s="4" t="str">
        <f t="shared" si="2"/>
        <v>Tốt</v>
      </c>
      <c r="L6" s="4" t="str">
        <f t="shared" si="3"/>
        <v>Sinh viên 5 (2210005) - Đúng 0,8%.</v>
      </c>
      <c r="M6" s="2"/>
      <c r="N6" s="2"/>
      <c r="O6" s="3"/>
    </row>
    <row r="7" ht="18.4" customHeight="1" spans="1:15">
      <c r="A7" s="2" t="s">
        <v>20</v>
      </c>
      <c r="B7" s="2">
        <v>2210006</v>
      </c>
      <c r="C7" s="2" t="s">
        <v>15</v>
      </c>
      <c r="D7" s="2">
        <v>0</v>
      </c>
      <c r="E7" s="2">
        <v>1</v>
      </c>
      <c r="F7" s="2">
        <v>1</v>
      </c>
      <c r="G7" s="2">
        <v>0</v>
      </c>
      <c r="H7" s="2">
        <v>0</v>
      </c>
      <c r="I7" s="2">
        <f t="shared" si="0"/>
        <v>2</v>
      </c>
      <c r="J7" s="2">
        <f t="shared" si="1"/>
        <v>0.4</v>
      </c>
      <c r="K7" s="4" t="str">
        <f t="shared" si="2"/>
        <v>Yếu</v>
      </c>
      <c r="L7" s="4" t="str">
        <f t="shared" si="3"/>
        <v>Sinh viên 6 (2210006) - Đúng 0,4%.</v>
      </c>
      <c r="M7" s="2"/>
      <c r="N7" s="2"/>
      <c r="O7" s="3"/>
    </row>
    <row r="8" ht="18.4" customHeight="1" spans="1:15">
      <c r="A8" s="2" t="s">
        <v>21</v>
      </c>
      <c r="B8" s="2">
        <v>2210007</v>
      </c>
      <c r="C8" s="2" t="s">
        <v>15</v>
      </c>
      <c r="D8" s="2">
        <v>1</v>
      </c>
      <c r="E8" s="2">
        <v>0</v>
      </c>
      <c r="F8" s="2">
        <v>1</v>
      </c>
      <c r="G8" s="2">
        <v>1</v>
      </c>
      <c r="H8" s="2">
        <v>1</v>
      </c>
      <c r="I8" s="2">
        <f t="shared" si="0"/>
        <v>4</v>
      </c>
      <c r="J8" s="2">
        <f t="shared" si="1"/>
        <v>0.8</v>
      </c>
      <c r="K8" s="4" t="str">
        <f t="shared" si="2"/>
        <v>Tốt</v>
      </c>
      <c r="L8" s="4" t="str">
        <f t="shared" si="3"/>
        <v>Sinh viên 7 (2210007) - Đúng 0,8%.</v>
      </c>
      <c r="M8" s="2"/>
      <c r="N8" s="2"/>
      <c r="O8" s="3"/>
    </row>
    <row r="9" ht="18.4" customHeight="1" spans="1:15">
      <c r="A9" s="2" t="s">
        <v>22</v>
      </c>
      <c r="B9" s="2">
        <v>2210008</v>
      </c>
      <c r="C9" s="2" t="s">
        <v>15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f t="shared" si="0"/>
        <v>0</v>
      </c>
      <c r="J9" s="2">
        <f t="shared" si="1"/>
        <v>0</v>
      </c>
      <c r="K9" s="4" t="str">
        <f t="shared" si="2"/>
        <v>Yếu</v>
      </c>
      <c r="L9" s="4" t="str">
        <f t="shared" si="3"/>
        <v>Sinh viên 8 (2210008) - Đúng 0%.</v>
      </c>
      <c r="M9" s="2"/>
      <c r="N9" s="2"/>
      <c r="O9" s="3"/>
    </row>
    <row r="10" ht="18.4" customHeight="1" spans="1:15">
      <c r="A10" s="2" t="s">
        <v>23</v>
      </c>
      <c r="B10" s="2">
        <v>2210009</v>
      </c>
      <c r="C10" s="2" t="s">
        <v>15</v>
      </c>
      <c r="D10" s="2">
        <v>0</v>
      </c>
      <c r="E10" s="2">
        <v>0</v>
      </c>
      <c r="F10" s="2">
        <v>1</v>
      </c>
      <c r="G10" s="2">
        <v>0</v>
      </c>
      <c r="H10" s="2">
        <v>1</v>
      </c>
      <c r="I10" s="2">
        <f t="shared" si="0"/>
        <v>2</v>
      </c>
      <c r="J10" s="2">
        <f t="shared" si="1"/>
        <v>0.4</v>
      </c>
      <c r="K10" s="4" t="str">
        <f t="shared" si="2"/>
        <v>Yếu</v>
      </c>
      <c r="L10" s="4" t="str">
        <f t="shared" si="3"/>
        <v>Sinh viên 9 (2210009) - Đúng 0,4%.</v>
      </c>
      <c r="M10" s="2"/>
      <c r="N10" s="2"/>
      <c r="O10" s="3"/>
    </row>
    <row r="11" ht="18.4" customHeight="1" spans="1:15">
      <c r="A11" s="2" t="s">
        <v>24</v>
      </c>
      <c r="B11" s="2">
        <v>22100010</v>
      </c>
      <c r="C11" s="2" t="s">
        <v>15</v>
      </c>
      <c r="D11" s="2">
        <v>0</v>
      </c>
      <c r="E11" s="2">
        <v>0</v>
      </c>
      <c r="F11" s="2">
        <v>0</v>
      </c>
      <c r="G11" s="2">
        <v>1</v>
      </c>
      <c r="H11" s="2">
        <v>1</v>
      </c>
      <c r="I11" s="2">
        <f>SUM(D12:H12)</f>
        <v>3</v>
      </c>
      <c r="J11" s="2">
        <f t="shared" si="1"/>
        <v>0.4</v>
      </c>
      <c r="K11" s="4" t="str">
        <f t="shared" si="2"/>
        <v>Khá</v>
      </c>
      <c r="L11" s="4" t="str">
        <f t="shared" si="3"/>
        <v>Sinh viên 10 (22100010) - Đúng 0,4%.</v>
      </c>
      <c r="M11" s="2"/>
      <c r="N11" s="2"/>
      <c r="O11" s="3"/>
    </row>
    <row r="12" ht="18.4" customHeight="1" spans="1:15">
      <c r="A12" s="2" t="s">
        <v>25</v>
      </c>
      <c r="B12" s="2">
        <v>22100011</v>
      </c>
      <c r="C12" s="2" t="s">
        <v>15</v>
      </c>
      <c r="D12" s="2">
        <v>1</v>
      </c>
      <c r="E12" s="2">
        <v>1</v>
      </c>
      <c r="F12" s="2">
        <v>0</v>
      </c>
      <c r="G12" s="2">
        <v>0</v>
      </c>
      <c r="H12" s="2">
        <v>1</v>
      </c>
      <c r="I12" s="2">
        <f t="shared" ref="I12:I21" si="4">SUM(D12:H12)</f>
        <v>3</v>
      </c>
      <c r="J12" s="2">
        <f t="shared" si="1"/>
        <v>0.6</v>
      </c>
      <c r="K12" s="4" t="str">
        <f t="shared" si="2"/>
        <v>Khá</v>
      </c>
      <c r="L12" s="4" t="str">
        <f t="shared" si="3"/>
        <v>Sinh viên 11 (22100011) - Đúng 0,6%.</v>
      </c>
      <c r="M12" s="2"/>
      <c r="N12" s="2"/>
      <c r="O12" s="3"/>
    </row>
    <row r="13" ht="18.4" customHeight="1" spans="1:15">
      <c r="A13" s="2" t="s">
        <v>26</v>
      </c>
      <c r="B13" s="2">
        <v>22100012</v>
      </c>
      <c r="C13" s="2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f t="shared" si="4"/>
        <v>1</v>
      </c>
      <c r="J13" s="2">
        <f t="shared" si="1"/>
        <v>0.2</v>
      </c>
      <c r="K13" s="4" t="str">
        <f t="shared" si="2"/>
        <v>Yếu</v>
      </c>
      <c r="L13" s="4" t="str">
        <f t="shared" si="3"/>
        <v>Sinh viên 12 (22100012) - Đúng 0,2%.</v>
      </c>
      <c r="M13" s="2"/>
      <c r="N13" s="2"/>
      <c r="O13" s="3"/>
    </row>
    <row r="14" ht="18.4" customHeight="1" spans="1:15">
      <c r="A14" s="2" t="s">
        <v>27</v>
      </c>
      <c r="B14" s="2">
        <v>22100013</v>
      </c>
      <c r="C14" s="2" t="s">
        <v>15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f t="shared" si="4"/>
        <v>1</v>
      </c>
      <c r="J14" s="2">
        <f t="shared" si="1"/>
        <v>0.2</v>
      </c>
      <c r="K14" s="4" t="str">
        <f t="shared" si="2"/>
        <v>Yếu</v>
      </c>
      <c r="L14" s="4" t="str">
        <f t="shared" si="3"/>
        <v>Sinh viên 13 (22100013) - Đúng 0,2%.</v>
      </c>
      <c r="M14" s="2"/>
      <c r="N14" s="2"/>
      <c r="O14" s="3"/>
    </row>
    <row r="15" ht="18.4" customHeight="1" spans="1:15">
      <c r="A15" s="2" t="s">
        <v>28</v>
      </c>
      <c r="B15" s="2">
        <v>22100014</v>
      </c>
      <c r="C15" s="2" t="s">
        <v>15</v>
      </c>
      <c r="D15" s="2">
        <v>0</v>
      </c>
      <c r="E15" s="2">
        <v>0</v>
      </c>
      <c r="F15" s="2">
        <v>1</v>
      </c>
      <c r="G15" s="2">
        <v>1</v>
      </c>
      <c r="H15" s="2">
        <v>0</v>
      </c>
      <c r="I15" s="2">
        <f t="shared" si="4"/>
        <v>2</v>
      </c>
      <c r="J15" s="2">
        <f t="shared" si="1"/>
        <v>0.4</v>
      </c>
      <c r="K15" s="4" t="str">
        <f>IF(I2&gt;=4,"Tốt",IF(I2&gt;=3,"Khá","Yếu"))</f>
        <v>Tốt</v>
      </c>
      <c r="L15" s="4" t="str">
        <f t="shared" si="3"/>
        <v>Sinh viên 14 (22100014) - Đúng 0,4%.</v>
      </c>
      <c r="M15" s="2"/>
      <c r="N15" s="2"/>
      <c r="O15" s="3"/>
    </row>
    <row r="16" ht="18.4" customHeight="1" spans="1:15">
      <c r="A16" s="2" t="s">
        <v>29</v>
      </c>
      <c r="B16" s="2">
        <v>22100015</v>
      </c>
      <c r="C16" s="2" t="s">
        <v>15</v>
      </c>
      <c r="D16" s="2">
        <v>0</v>
      </c>
      <c r="E16" s="2">
        <v>1</v>
      </c>
      <c r="F16" s="2">
        <v>1</v>
      </c>
      <c r="G16" s="2">
        <v>1</v>
      </c>
      <c r="H16" s="2">
        <v>0</v>
      </c>
      <c r="I16" s="2">
        <f t="shared" si="4"/>
        <v>3</v>
      </c>
      <c r="J16" s="2">
        <f t="shared" si="1"/>
        <v>0.6</v>
      </c>
      <c r="K16" s="4" t="str">
        <f>IF(I15&gt;=4,"Tốt",IF(I15&gt;=3,"Khá","Yếu"))</f>
        <v>Yếu</v>
      </c>
      <c r="L16" s="4" t="str">
        <f t="shared" si="3"/>
        <v>Sinh viên 15 (22100015) - Đúng 0,6%.</v>
      </c>
      <c r="M16" s="2"/>
      <c r="N16" s="2"/>
      <c r="O16" s="3"/>
    </row>
    <row r="17" ht="18.4" customHeight="1" spans="1:15">
      <c r="A17" s="2" t="s">
        <v>30</v>
      </c>
      <c r="B17" s="2">
        <v>22100016</v>
      </c>
      <c r="C17" s="2" t="s">
        <v>15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>
        <f t="shared" si="4"/>
        <v>2</v>
      </c>
      <c r="J17" s="2">
        <f t="shared" si="1"/>
        <v>0.4</v>
      </c>
      <c r="K17" s="4" t="str">
        <f t="shared" ref="K17:K21" si="5">IF(I17&gt;=4,"Tốt",IF(I17&gt;=3,"Khá","Yếu"))</f>
        <v>Yếu</v>
      </c>
      <c r="L17" s="4" t="str">
        <f t="shared" si="3"/>
        <v>Sinh viên 16 (22100016) - Đúng 0,4%.</v>
      </c>
      <c r="M17" s="2"/>
      <c r="N17" s="2"/>
      <c r="O17" s="3"/>
    </row>
    <row r="18" ht="18.4" customHeight="1" spans="1:15">
      <c r="A18" s="2" t="s">
        <v>31</v>
      </c>
      <c r="B18" s="2">
        <v>22100017</v>
      </c>
      <c r="C18" s="2" t="s">
        <v>15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f t="shared" si="4"/>
        <v>2</v>
      </c>
      <c r="J18" s="2">
        <f t="shared" si="1"/>
        <v>0.4</v>
      </c>
      <c r="K18" s="4" t="str">
        <f t="shared" si="5"/>
        <v>Yếu</v>
      </c>
      <c r="L18" s="4" t="str">
        <f t="shared" si="3"/>
        <v>Sinh viên 17 (22100017) - Đúng 0,4%.</v>
      </c>
      <c r="M18" s="2"/>
      <c r="N18" s="2"/>
      <c r="O18" s="3"/>
    </row>
    <row r="19" ht="18.4" customHeight="1" spans="1:15">
      <c r="A19" s="2" t="s">
        <v>32</v>
      </c>
      <c r="B19" s="2">
        <v>22100018</v>
      </c>
      <c r="C19" s="2" t="s">
        <v>15</v>
      </c>
      <c r="D19" s="2">
        <v>0</v>
      </c>
      <c r="E19" s="2">
        <v>0</v>
      </c>
      <c r="F19" s="2">
        <v>1</v>
      </c>
      <c r="G19" s="2">
        <v>1</v>
      </c>
      <c r="H19" s="2">
        <v>1</v>
      </c>
      <c r="I19" s="2">
        <f t="shared" si="4"/>
        <v>3</v>
      </c>
      <c r="J19" s="2">
        <f t="shared" si="1"/>
        <v>0.6</v>
      </c>
      <c r="K19" s="4" t="str">
        <f t="shared" si="5"/>
        <v>Khá</v>
      </c>
      <c r="L19" s="4" t="str">
        <f t="shared" si="3"/>
        <v>Sinh viên 18 (22100018) - Đúng 0,6%.</v>
      </c>
      <c r="M19" s="2"/>
      <c r="N19" s="2"/>
      <c r="O19" s="3"/>
    </row>
    <row r="20" ht="18.4" customHeight="1" spans="1:15">
      <c r="A20" s="2" t="s">
        <v>33</v>
      </c>
      <c r="B20" s="2">
        <v>22100019</v>
      </c>
      <c r="C20" s="2" t="s">
        <v>15</v>
      </c>
      <c r="D20" s="2">
        <v>1</v>
      </c>
      <c r="E20" s="2">
        <v>0</v>
      </c>
      <c r="F20" s="2">
        <v>1</v>
      </c>
      <c r="G20" s="2">
        <v>1</v>
      </c>
      <c r="H20" s="2">
        <v>1</v>
      </c>
      <c r="I20" s="2">
        <f t="shared" si="4"/>
        <v>4</v>
      </c>
      <c r="J20" s="2">
        <f t="shared" si="1"/>
        <v>0.8</v>
      </c>
      <c r="K20" s="4" t="str">
        <f t="shared" si="5"/>
        <v>Tốt</v>
      </c>
      <c r="L20" s="4" t="str">
        <f t="shared" si="3"/>
        <v>Sinh viên 19 (22100019) - Đúng 0,8%.</v>
      </c>
      <c r="M20" s="2"/>
      <c r="N20" s="2"/>
      <c r="O20" s="3"/>
    </row>
    <row r="21" ht="18.4" customHeight="1" spans="1:15">
      <c r="A21" s="2" t="s">
        <v>34</v>
      </c>
      <c r="B21" s="2">
        <v>22100020</v>
      </c>
      <c r="C21" s="2" t="s">
        <v>15</v>
      </c>
      <c r="D21" s="2">
        <v>0</v>
      </c>
      <c r="E21" s="2">
        <v>0</v>
      </c>
      <c r="F21" s="2">
        <v>1</v>
      </c>
      <c r="G21" s="2">
        <v>1</v>
      </c>
      <c r="H21" s="2">
        <v>1</v>
      </c>
      <c r="I21" s="2">
        <f t="shared" si="4"/>
        <v>3</v>
      </c>
      <c r="J21" s="2">
        <f t="shared" si="1"/>
        <v>0.6</v>
      </c>
      <c r="K21" s="4" t="str">
        <f t="shared" si="5"/>
        <v>Khá</v>
      </c>
      <c r="L21" s="4" t="str">
        <f t="shared" si="3"/>
        <v>Sinh viên 20 (22100020) - Đúng 0,6%.</v>
      </c>
      <c r="M21" s="2"/>
      <c r="N21" s="2"/>
      <c r="O21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2025-10-12T06:29:37Z</dcterms:created>
  <dcterms:modified xsi:type="dcterms:W3CDTF">2025-10-12T06:33:10Z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995556EEA2ED4EBE9E93FB0E9D066006_11</vt:lpwstr>
  </property>
  <property fmtid="{D5CDD505-2E9C-101B-9397-08002B2CF9AE}" pid="3" name="KSOProductBuildVer">
    <vt:lpwstr>1033-12.2.0.22530</vt:lpwstr>
  </property>
</Properties>
</file>